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rodrigue\Desktop\medidores\"/>
    </mc:Choice>
  </mc:AlternateContent>
  <xr:revisionPtr revIDLastSave="0" documentId="13_ncr:1_{9CD15985-9FE4-423C-BFE2-B1B5D1817BDA}" xr6:coauthVersionLast="47" xr6:coauthVersionMax="47" xr10:uidLastSave="{00000000-0000-0000-0000-000000000000}"/>
  <bookViews>
    <workbookView xWindow="-120" yWindow="-120" windowWidth="20730" windowHeight="11040" xr2:uid="{4C10B645-CA7C-43AF-9077-F575D0FA409B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/>
  <c r="G22" i="3"/>
  <c r="B22" i="3"/>
  <c r="A17" i="3"/>
  <c r="B17" i="3"/>
  <c r="G17" i="3"/>
  <c r="A20" i="3"/>
  <c r="A16" i="3"/>
  <c r="A14" i="3"/>
  <c r="A15" i="3"/>
  <c r="A18" i="3"/>
  <c r="A19" i="3"/>
  <c r="A21" i="3"/>
  <c r="A23" i="3"/>
  <c r="A10" i="3"/>
  <c r="A4" i="3"/>
  <c r="B14" i="3"/>
  <c r="B15" i="3"/>
  <c r="B16" i="3"/>
  <c r="B18" i="3"/>
  <c r="B19" i="3"/>
  <c r="B20" i="3"/>
  <c r="B21" i="3"/>
  <c r="B23" i="3"/>
  <c r="B8" i="3"/>
  <c r="B9" i="3"/>
  <c r="B10" i="3"/>
  <c r="B11" i="3"/>
  <c r="B12" i="3"/>
  <c r="B13" i="3"/>
  <c r="B4" i="3"/>
  <c r="B5" i="3"/>
  <c r="B6" i="3"/>
  <c r="B7" i="3"/>
  <c r="B3" i="3"/>
  <c r="A7" i="3" l="1"/>
  <c r="A8" i="3"/>
  <c r="A9" i="3"/>
  <c r="A11" i="3"/>
  <c r="A12" i="3"/>
  <c r="A13" i="3"/>
  <c r="A6" i="3"/>
  <c r="A5" i="3"/>
  <c r="A3" i="3"/>
  <c r="G23" i="3"/>
  <c r="G19" i="3"/>
  <c r="G20" i="3"/>
  <c r="G21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8" i="3"/>
  <c r="G3" i="3"/>
</calcChain>
</file>

<file path=xl/sharedStrings.xml><?xml version="1.0" encoding="utf-8"?>
<sst xmlns="http://schemas.openxmlformats.org/spreadsheetml/2006/main" count="32" uniqueCount="17">
  <si>
    <t>FECHA CALIBRACIÓN</t>
  </si>
  <si>
    <t>FECHA CALIBRACIÓN ANTERIOR</t>
  </si>
  <si>
    <t>DÍAS DESDE ÚLTIMA CALIBRACIÓN</t>
  </si>
  <si>
    <t>SERIE</t>
  </si>
  <si>
    <t>BRAZO</t>
  </si>
  <si>
    <t>UF 151 335</t>
  </si>
  <si>
    <t>UF 151 327</t>
  </si>
  <si>
    <t>UF 151 340</t>
  </si>
  <si>
    <t>UF 151 354</t>
  </si>
  <si>
    <t>UF 151 330</t>
  </si>
  <si>
    <t>UF 151 345</t>
  </si>
  <si>
    <t>TOTALIZADOR MECÁNICO INICIAL</t>
  </si>
  <si>
    <t>TOTALIZADOR MECÁNICO CAL ANTERIOR</t>
  </si>
  <si>
    <t>DERIVA</t>
  </si>
  <si>
    <t>ERROR VERIFICACIÓN</t>
  </si>
  <si>
    <t>LITROS DE GASOIL</t>
  </si>
  <si>
    <t>MEDIDORES PAYSANDÚ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</si>
</sst>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sz val="8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4039-363D-48F5-9FDD-C2B3CD7767E5}">
  <dimension ref="A1:J23"/>
  <sheetViews>
    <sheetView tabSelected="1" zoomScaleNormal="100" workbookViewId="0">
      <selection activeCell="K3" sqref="K3"/>
    </sheetView>
  </sheetViews>
  <sheetFormatPr baseColWidth="10" defaultRowHeight="15" x14ac:dyDescent="0.25"/>
  <cols>
    <col min="1" max="1" width="14.28515625" style="5" customWidth="1"/>
    <col min="2" max="2" width="15" style="5" customWidth="1"/>
    <col min="3" max="3" width="19.42578125" style="5" customWidth="1"/>
    <col min="4" max="4" width="11.42578125" style="5"/>
    <col min="5" max="5" width="17.85546875" style="5" customWidth="1"/>
    <col min="6" max="6" width="18.42578125" style="5" customWidth="1"/>
    <col min="7" max="7" width="20.7109375" style="5" customWidth="1"/>
    <col min="8" max="8" width="17.85546875" style="5" customWidth="1"/>
    <col min="9" max="9" width="16.140625" style="5" customWidth="1"/>
    <col min="10" max="10" width="14" style="5" customWidth="1"/>
    <col min="11" max="11" width="14.28515625" bestFit="1" customWidth="1"/>
  </cols>
  <sheetData>
    <row r="1" spans="1:10" ht="43.5" customHeight="1" x14ac:dyDescent="0.25">
      <c r="A1" s="10" t="s">
        <v>16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60" x14ac:dyDescent="0.25">
      <c r="A2" s="6" t="s">
        <v>15</v>
      </c>
      <c r="B2" s="6" t="s">
        <v>13</v>
      </c>
      <c r="C2" s="6" t="s">
        <v>3</v>
      </c>
      <c r="D2" s="6" t="s">
        <v>4</v>
      </c>
      <c r="E2" s="6" t="s">
        <v>0</v>
      </c>
      <c r="F2" s="6" t="s">
        <v>1</v>
      </c>
      <c r="G2" s="6" t="s">
        <v>2</v>
      </c>
      <c r="H2" s="6" t="s">
        <v>14</v>
      </c>
      <c r="I2" s="6" t="s">
        <v>11</v>
      </c>
      <c r="J2" s="6" t="s">
        <v>12</v>
      </c>
    </row>
    <row r="3" spans="1:10" x14ac:dyDescent="0.25">
      <c r="A3" s="1">
        <f>I3-J3</f>
        <v>28117335</v>
      </c>
      <c r="B3" s="2">
        <f>IF(ABS(H3)&gt;0.05,1,0)</f>
        <v>1</v>
      </c>
      <c r="C3" s="1" t="s">
        <v>5</v>
      </c>
      <c r="D3" s="1">
        <v>2</v>
      </c>
      <c r="E3" s="7">
        <v>42325</v>
      </c>
      <c r="F3" s="7">
        <v>41580</v>
      </c>
      <c r="G3" s="1">
        <f t="shared" ref="G3:G23" si="0">E3-F3</f>
        <v>745</v>
      </c>
      <c r="H3" s="1">
        <v>-0.21</v>
      </c>
      <c r="I3" s="1">
        <v>98883655</v>
      </c>
      <c r="J3" s="1">
        <v>70766320</v>
      </c>
    </row>
    <row r="4" spans="1:10" x14ac:dyDescent="0.25">
      <c r="A4" s="1">
        <f>99999999-J4+I4</f>
        <v>10279517</v>
      </c>
      <c r="B4" s="2">
        <f>IF(ABS(H4)&gt;0.05,1,0)</f>
        <v>0</v>
      </c>
      <c r="C4" s="1" t="s">
        <v>5</v>
      </c>
      <c r="D4" s="1">
        <v>2</v>
      </c>
      <c r="E4" s="7">
        <v>42703</v>
      </c>
      <c r="F4" s="7">
        <v>42325</v>
      </c>
      <c r="G4" s="1">
        <f t="shared" si="0"/>
        <v>378</v>
      </c>
      <c r="H4" s="1">
        <v>0.03</v>
      </c>
      <c r="I4" s="1">
        <v>9177259</v>
      </c>
      <c r="J4" s="1">
        <v>98897741</v>
      </c>
    </row>
    <row r="5" spans="1:10" x14ac:dyDescent="0.25">
      <c r="A5" s="1">
        <f>I5-J5</f>
        <v>30084588</v>
      </c>
      <c r="B5" s="2">
        <f>IF(ABS(H5)&gt;0.05,1,0)</f>
        <v>0</v>
      </c>
      <c r="C5" s="1" t="s">
        <v>5</v>
      </c>
      <c r="D5" s="1">
        <v>2</v>
      </c>
      <c r="E5" s="7">
        <v>43605</v>
      </c>
      <c r="F5" s="7">
        <v>42703</v>
      </c>
      <c r="G5" s="1">
        <f t="shared" si="0"/>
        <v>902</v>
      </c>
      <c r="H5" s="1">
        <v>0</v>
      </c>
      <c r="I5" s="1">
        <v>39271908</v>
      </c>
      <c r="J5" s="1">
        <v>9187320</v>
      </c>
    </row>
    <row r="6" spans="1:10" x14ac:dyDescent="0.25">
      <c r="A6" s="1">
        <f>I6-J6</f>
        <v>20392911</v>
      </c>
      <c r="B6" s="2">
        <f>IF(ABS(H6)&gt;0.05,1,0)</f>
        <v>1</v>
      </c>
      <c r="C6" s="1" t="s">
        <v>5</v>
      </c>
      <c r="D6" s="1">
        <v>2</v>
      </c>
      <c r="E6" s="7">
        <v>44511</v>
      </c>
      <c r="F6" s="7">
        <v>43605</v>
      </c>
      <c r="G6" s="1">
        <f t="shared" si="0"/>
        <v>906</v>
      </c>
      <c r="H6" s="1">
        <v>0.2</v>
      </c>
      <c r="I6" s="1">
        <v>59676921</v>
      </c>
      <c r="J6" s="1">
        <v>39284010</v>
      </c>
    </row>
    <row r="7" spans="1:10" x14ac:dyDescent="0.25">
      <c r="A7" s="1">
        <f>I7-J7</f>
        <v>7728205</v>
      </c>
      <c r="B7" s="2">
        <f>IF(ABS(H7)&gt;0.05,1,0)</f>
        <v>0</v>
      </c>
      <c r="C7" s="1" t="s">
        <v>5</v>
      </c>
      <c r="D7" s="1">
        <v>2</v>
      </c>
      <c r="E7" s="7">
        <v>45852</v>
      </c>
      <c r="F7" s="7">
        <v>45523</v>
      </c>
      <c r="G7" s="1">
        <f t="shared" si="0"/>
        <v>329</v>
      </c>
      <c r="H7" s="1">
        <v>-0.04</v>
      </c>
      <c r="I7" s="1">
        <v>82549160</v>
      </c>
      <c r="J7" s="1">
        <v>74820955</v>
      </c>
    </row>
    <row r="8" spans="1:10" x14ac:dyDescent="0.25">
      <c r="A8" s="1">
        <f>I8-J8</f>
        <v>17759812</v>
      </c>
      <c r="B8" s="2">
        <f>IF(ABS(H8)&gt;0.05,1,0)</f>
        <v>1</v>
      </c>
      <c r="C8" s="8" t="s">
        <v>6</v>
      </c>
      <c r="D8" s="9">
        <v>5</v>
      </c>
      <c r="E8" s="7">
        <v>42325</v>
      </c>
      <c r="F8" s="7">
        <v>41596</v>
      </c>
      <c r="G8" s="1">
        <f t="shared" si="0"/>
        <v>729</v>
      </c>
      <c r="H8" s="1">
        <v>-0.06</v>
      </c>
      <c r="I8" s="1">
        <v>67870524</v>
      </c>
      <c r="J8" s="1">
        <v>50110712</v>
      </c>
    </row>
    <row r="9" spans="1:10" x14ac:dyDescent="0.25">
      <c r="A9" s="1">
        <f>I9-J9</f>
        <v>15885519</v>
      </c>
      <c r="B9" s="2">
        <f>IF(ABS(H9)&gt;0.05,1,0)</f>
        <v>0</v>
      </c>
      <c r="C9" s="1" t="s">
        <v>6</v>
      </c>
      <c r="D9" s="1">
        <v>5</v>
      </c>
      <c r="E9" s="7">
        <v>43606</v>
      </c>
      <c r="F9" s="7">
        <v>42703</v>
      </c>
      <c r="G9" s="1">
        <f t="shared" si="0"/>
        <v>903</v>
      </c>
      <c r="H9" s="1">
        <v>0</v>
      </c>
      <c r="I9" s="1">
        <v>89578910</v>
      </c>
      <c r="J9" s="1">
        <v>73693391</v>
      </c>
    </row>
    <row r="10" spans="1:10" x14ac:dyDescent="0.25">
      <c r="A10" s="1">
        <f>99999999-J10+I10</f>
        <v>15127056</v>
      </c>
      <c r="B10" s="2">
        <f>IF(ABS(H10)&gt;0.05,1,0)</f>
        <v>0</v>
      </c>
      <c r="C10" s="1" t="s">
        <v>6</v>
      </c>
      <c r="D10" s="1">
        <v>5</v>
      </c>
      <c r="E10" s="7">
        <v>44511</v>
      </c>
      <c r="F10" s="7">
        <v>43606</v>
      </c>
      <c r="G10" s="1">
        <f t="shared" si="0"/>
        <v>905</v>
      </c>
      <c r="H10" s="1">
        <v>0</v>
      </c>
      <c r="I10" s="1">
        <v>4718059</v>
      </c>
      <c r="J10" s="1">
        <v>89591002</v>
      </c>
    </row>
    <row r="11" spans="1:10" x14ac:dyDescent="0.25">
      <c r="A11" s="1">
        <f>I11-J11</f>
        <v>5140989</v>
      </c>
      <c r="B11" s="2">
        <f>IF(ABS(H11)&gt;0.05,1,0)</f>
        <v>0</v>
      </c>
      <c r="C11" s="1" t="s">
        <v>6</v>
      </c>
      <c r="D11" s="1">
        <v>5</v>
      </c>
      <c r="E11" s="7">
        <v>45524</v>
      </c>
      <c r="F11" s="7">
        <v>45118</v>
      </c>
      <c r="G11" s="1">
        <f t="shared" si="0"/>
        <v>406</v>
      </c>
      <c r="H11" s="1">
        <v>0</v>
      </c>
      <c r="I11" s="1">
        <v>23443710</v>
      </c>
      <c r="J11" s="1">
        <v>18302721</v>
      </c>
    </row>
    <row r="12" spans="1:10" x14ac:dyDescent="0.25">
      <c r="A12" s="1">
        <f>I12-J12</f>
        <v>12413892</v>
      </c>
      <c r="B12" s="2">
        <f>IF(ABS(H12)&gt;0.05,1,0)</f>
        <v>1</v>
      </c>
      <c r="C12" s="1" t="s">
        <v>6</v>
      </c>
      <c r="D12" s="1">
        <v>5</v>
      </c>
      <c r="E12" s="7">
        <v>45853</v>
      </c>
      <c r="F12" s="7">
        <v>45524</v>
      </c>
      <c r="G12" s="1">
        <f t="shared" si="0"/>
        <v>329</v>
      </c>
      <c r="H12" s="1">
        <v>0.08</v>
      </c>
      <c r="I12" s="1">
        <v>35865667</v>
      </c>
      <c r="J12" s="1">
        <v>23451775</v>
      </c>
    </row>
    <row r="13" spans="1:10" x14ac:dyDescent="0.25">
      <c r="A13" s="1">
        <f>I13-J13</f>
        <v>2988050</v>
      </c>
      <c r="B13" s="2">
        <f>IF(ABS(H13)&gt;0.05,1,0)</f>
        <v>0</v>
      </c>
      <c r="C13" s="1" t="s">
        <v>7</v>
      </c>
      <c r="D13" s="1">
        <v>6</v>
      </c>
      <c r="E13" s="7">
        <v>45524</v>
      </c>
      <c r="F13" s="7">
        <v>45118</v>
      </c>
      <c r="G13" s="1">
        <f t="shared" si="0"/>
        <v>406</v>
      </c>
      <c r="H13" s="1">
        <v>0.03</v>
      </c>
      <c r="I13" s="1">
        <v>26323907</v>
      </c>
      <c r="J13" s="1">
        <v>23335857</v>
      </c>
    </row>
    <row r="14" spans="1:10" x14ac:dyDescent="0.25">
      <c r="A14" s="1">
        <f>I14-J14</f>
        <v>8120805</v>
      </c>
      <c r="B14" s="2">
        <f>IF(ABS(H14)&gt;0.05,1,0)</f>
        <v>0</v>
      </c>
      <c r="C14" s="1" t="s">
        <v>7</v>
      </c>
      <c r="D14" s="1">
        <v>6</v>
      </c>
      <c r="E14" s="7">
        <v>45853</v>
      </c>
      <c r="F14" s="7">
        <v>45524</v>
      </c>
      <c r="G14" s="1">
        <f t="shared" si="0"/>
        <v>329</v>
      </c>
      <c r="H14" s="1">
        <v>0</v>
      </c>
      <c r="I14" s="1">
        <v>34452804</v>
      </c>
      <c r="J14" s="1">
        <v>26331999</v>
      </c>
    </row>
    <row r="15" spans="1:10" x14ac:dyDescent="0.25">
      <c r="A15" s="1">
        <f>I15-J15</f>
        <v>25738028</v>
      </c>
      <c r="B15" s="2">
        <f>IF(ABS(H15)&gt;0.05,1,0)</f>
        <v>1</v>
      </c>
      <c r="C15" s="1" t="s">
        <v>8</v>
      </c>
      <c r="D15" s="1">
        <v>9</v>
      </c>
      <c r="E15" s="7">
        <v>42326</v>
      </c>
      <c r="F15" s="7">
        <v>41596</v>
      </c>
      <c r="G15" s="1">
        <f t="shared" si="0"/>
        <v>730</v>
      </c>
      <c r="H15" s="1">
        <v>-0.13</v>
      </c>
      <c r="I15" s="1">
        <v>90632986</v>
      </c>
      <c r="J15" s="1">
        <v>64894958</v>
      </c>
    </row>
    <row r="16" spans="1:10" x14ac:dyDescent="0.25">
      <c r="A16" s="1">
        <f>99999999-J16+I16</f>
        <v>37779774</v>
      </c>
      <c r="B16" s="2">
        <f>IF(ABS(H16)&gt;0.05,1,0)</f>
        <v>0</v>
      </c>
      <c r="C16" s="1" t="s">
        <v>8</v>
      </c>
      <c r="D16" s="1">
        <v>9</v>
      </c>
      <c r="E16" s="7">
        <v>43606</v>
      </c>
      <c r="F16" s="7">
        <v>42704</v>
      </c>
      <c r="G16" s="1">
        <f t="shared" si="0"/>
        <v>902</v>
      </c>
      <c r="H16" s="1">
        <v>0</v>
      </c>
      <c r="I16" s="1">
        <v>28045821</v>
      </c>
      <c r="J16" s="1">
        <v>90266046</v>
      </c>
    </row>
    <row r="17" spans="1:10" x14ac:dyDescent="0.25">
      <c r="A17" s="1">
        <f>I17-J17</f>
        <v>3358801</v>
      </c>
      <c r="B17" s="2">
        <f>IF(ABS(H17)&gt;0.05,1,0)</f>
        <v>0</v>
      </c>
      <c r="C17" s="1" t="s">
        <v>8</v>
      </c>
      <c r="D17" s="1">
        <v>9</v>
      </c>
      <c r="E17" s="7">
        <v>45524</v>
      </c>
      <c r="F17" s="7">
        <v>45119</v>
      </c>
      <c r="G17" s="1">
        <f t="shared" si="0"/>
        <v>405</v>
      </c>
      <c r="H17" s="1">
        <v>0</v>
      </c>
      <c r="I17" s="1">
        <v>68497825</v>
      </c>
      <c r="J17" s="1">
        <v>65139024</v>
      </c>
    </row>
    <row r="18" spans="1:10" x14ac:dyDescent="0.25">
      <c r="A18" s="1">
        <f>I18-J18</f>
        <v>9319617</v>
      </c>
      <c r="B18" s="2">
        <f>IF(ABS(H18)&gt;0.05,1,0)</f>
        <v>1</v>
      </c>
      <c r="C18" s="1" t="s">
        <v>8</v>
      </c>
      <c r="D18" s="3">
        <v>9</v>
      </c>
      <c r="E18" s="4">
        <v>45853</v>
      </c>
      <c r="F18" s="4">
        <v>45524</v>
      </c>
      <c r="G18" s="1">
        <f t="shared" si="0"/>
        <v>329</v>
      </c>
      <c r="H18" s="3">
        <v>-0.08</v>
      </c>
      <c r="I18" s="1">
        <v>77825492</v>
      </c>
      <c r="J18" s="1">
        <v>68505875</v>
      </c>
    </row>
    <row r="19" spans="1:10" x14ac:dyDescent="0.25">
      <c r="A19" s="1">
        <f>I19-J19</f>
        <v>5030785</v>
      </c>
      <c r="B19" s="2">
        <f>IF(ABS(H19)&gt;0.05,1,0)</f>
        <v>0</v>
      </c>
      <c r="C19" s="3" t="s">
        <v>9</v>
      </c>
      <c r="D19" s="3">
        <v>10</v>
      </c>
      <c r="E19" s="4">
        <v>45524</v>
      </c>
      <c r="F19" s="4">
        <v>45119</v>
      </c>
      <c r="G19" s="1">
        <f t="shared" si="0"/>
        <v>405</v>
      </c>
      <c r="H19" s="3">
        <v>0</v>
      </c>
      <c r="I19" s="1">
        <v>91207836</v>
      </c>
      <c r="J19" s="1">
        <v>86177051</v>
      </c>
    </row>
    <row r="20" spans="1:10" x14ac:dyDescent="0.25">
      <c r="A20" s="1">
        <f>I20-J20</f>
        <v>25252583</v>
      </c>
      <c r="B20" s="2">
        <f>IF(ABS(H20)&gt;0.05,1,0)</f>
        <v>1</v>
      </c>
      <c r="C20" s="3" t="s">
        <v>9</v>
      </c>
      <c r="D20" s="3">
        <v>10</v>
      </c>
      <c r="E20" s="4">
        <v>45854</v>
      </c>
      <c r="F20" s="4">
        <v>45524</v>
      </c>
      <c r="G20" s="1">
        <f t="shared" si="0"/>
        <v>330</v>
      </c>
      <c r="H20" s="3">
        <v>-0.16</v>
      </c>
      <c r="I20" s="1">
        <v>61393535</v>
      </c>
      <c r="J20" s="1">
        <v>36140952</v>
      </c>
    </row>
    <row r="21" spans="1:10" x14ac:dyDescent="0.25">
      <c r="A21" s="1">
        <f>I21-J21</f>
        <v>23334099</v>
      </c>
      <c r="B21" s="2">
        <f>IF(ABS(H21)&gt;0.05,1,0)</f>
        <v>1</v>
      </c>
      <c r="C21" s="3" t="s">
        <v>10</v>
      </c>
      <c r="D21" s="3">
        <v>16</v>
      </c>
      <c r="E21" s="4">
        <v>42339</v>
      </c>
      <c r="F21" s="4">
        <v>41598</v>
      </c>
      <c r="G21" s="1">
        <f t="shared" si="0"/>
        <v>741</v>
      </c>
      <c r="H21" s="3">
        <v>-0.12</v>
      </c>
      <c r="I21" s="1">
        <v>78269403</v>
      </c>
      <c r="J21" s="1">
        <v>54935304</v>
      </c>
    </row>
    <row r="22" spans="1:10" x14ac:dyDescent="0.25">
      <c r="A22" s="1">
        <f>I22-J22</f>
        <v>16221419</v>
      </c>
      <c r="B22" s="2">
        <f>IF(ABS(H22)&gt;0.05,1,0)</f>
        <v>0</v>
      </c>
      <c r="C22" s="3" t="s">
        <v>10</v>
      </c>
      <c r="D22" s="3">
        <v>16</v>
      </c>
      <c r="E22" s="4">
        <v>43627</v>
      </c>
      <c r="F22" s="4">
        <v>42718</v>
      </c>
      <c r="G22" s="1">
        <f t="shared" si="0"/>
        <v>909</v>
      </c>
      <c r="H22" s="3">
        <v>0</v>
      </c>
      <c r="I22" s="1">
        <v>96261412</v>
      </c>
      <c r="J22" s="1">
        <v>80039993</v>
      </c>
    </row>
    <row r="23" spans="1:10" x14ac:dyDescent="0.25">
      <c r="A23" s="1">
        <f>I23-J23</f>
        <v>6405219</v>
      </c>
      <c r="B23" s="2">
        <f>IF(ABS(H23)&gt;0.05,1,0)</f>
        <v>1</v>
      </c>
      <c r="C23" s="3" t="s">
        <v>10</v>
      </c>
      <c r="D23" s="3">
        <v>16</v>
      </c>
      <c r="E23" s="4">
        <v>45525</v>
      </c>
      <c r="F23" s="4">
        <v>45120</v>
      </c>
      <c r="G23" s="1">
        <f t="shared" si="0"/>
        <v>405</v>
      </c>
      <c r="H23" s="3">
        <v>0.12</v>
      </c>
      <c r="I23" s="1">
        <v>42546171</v>
      </c>
      <c r="J23" s="1">
        <v>36140952</v>
      </c>
    </row>
  </sheetData>
  <mergeCells count="1">
    <mergeCell ref="A1:J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María Fernanda</dc:creator>
  <cp:lastModifiedBy>Rodriguez María Fernanda</cp:lastModifiedBy>
  <dcterms:created xsi:type="dcterms:W3CDTF">2026-04-07T14:47:34Z</dcterms:created>
  <dcterms:modified xsi:type="dcterms:W3CDTF">2026-05-04T22:03:03Z</dcterms:modified>
</cp:coreProperties>
</file>